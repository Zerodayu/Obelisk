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irect CLO" sheetId="2" state="visible" r:id="rId4"/>
    <sheet name="Indirect CL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" authorId="0">
      <text>
        <r>
          <rPr>
            <sz val="10"/>
            <rFont val="Arial"/>
            <family val="2"/>
          </rPr>
          <t xml:space="preserve">Formula: (Mean Rating / Scale Max[5]) * 100. Consistent with WIN-OBE Formula 9 (Perceived Att % = Mean Rating x 20, i.e. mean/5*100).</t>
        </r>
      </text>
    </comment>
    <comment ref="E12" authorId="0">
      <text>
        <r>
          <rPr>
            <sz val="10"/>
            <rFont val="Arial"/>
            <family val="2"/>
          </rPr>
          <t xml:space="preserve">Formula: (Mean Rating / Scale Max[5]) * 100. Consistent with WIN-OBE Formula 9 (Perceived Att % = Mean Rating x 20, i.e. mean/5*100).</t>
        </r>
      </text>
    </comment>
    <comment ref="G12" authorId="0">
      <text>
        <r>
          <rPr>
            <sz val="10"/>
            <rFont val="Arial"/>
            <family val="2"/>
          </rPr>
          <t xml:space="preserve">Formula: (Mean Rating / Scale Max[5]) * 100. Consistent with WIN-OBE Formula 9 (Perceived Att % = Mean Rating x 20, i.e. mean/5*100).</t>
        </r>
      </text>
    </comment>
    <comment ref="I12" authorId="0">
      <text>
        <r>
          <rPr>
            <sz val="10"/>
            <rFont val="Arial"/>
            <family val="2"/>
          </rPr>
          <t xml:space="preserve">Formula: (Mean Rating / Scale Max[5]) * 100. Consistent with WIN-OBE Formula 9 (Perceived Att % = Mean Rating x 20, i.e. mean/5*100).</t>
        </r>
      </text>
    </comment>
    <comment ref="K12" authorId="0">
      <text>
        <r>
          <rPr>
            <sz val="10"/>
            <rFont val="Arial"/>
            <family val="2"/>
          </rPr>
          <t xml:space="preserve">Formula: (Mean Rating / Scale Max[5]) * 100. Consistent with WIN-OBE Formula 9 (Perceived Att % = Mean Rating x 20, i.e. mean/5*100).</t>
        </r>
      </text>
    </comment>
  </commentList>
</comments>
</file>

<file path=xl/sharedStrings.xml><?xml version="1.0" encoding="utf-8"?>
<sst xmlns="http://schemas.openxmlformats.org/spreadsheetml/2006/main" count="147" uniqueCount="68">
  <si>
    <t xml:space="preserve">OBELISK — CLO ATTAINMENT DASHBOARD (SYSTEM FETCH TARGET)</t>
  </si>
  <si>
    <t xml:space="preserve">This is the ONLY tab OBELISK reads. All values below are computed live from 'Direct CLO' and 'Indirect CLO'. Do not edit this tab directly.</t>
  </si>
  <si>
    <t xml:space="preserve">Course Code</t>
  </si>
  <si>
    <t xml:space="preserve">TEST-101</t>
  </si>
  <si>
    <t xml:space="preserve">Course Title</t>
  </si>
  <si>
    <t xml:space="preserve">Synthetic Test Course</t>
  </si>
  <si>
    <t xml:space="preserve">Section</t>
  </si>
  <si>
    <t xml:space="preserve">A</t>
  </si>
  <si>
    <t xml:space="preserve">Instructor Name</t>
  </si>
  <si>
    <t xml:space="preserve">Test Instructor</t>
  </si>
  <si>
    <t xml:space="preserve">A.Y. / Semester</t>
  </si>
  <si>
    <t xml:space="preserve">2026-2027, 1st Sem</t>
  </si>
  <si>
    <t xml:space="preserve">Grading System</t>
  </si>
  <si>
    <t xml:space="preserve">Numeric</t>
  </si>
  <si>
    <t xml:space="preserve">Institutional Threshold</t>
  </si>
  <si>
    <t xml:space="preserve">CLO Code</t>
  </si>
  <si>
    <t xml:space="preserve">Direct Attainment %</t>
  </si>
  <si>
    <t xml:space="preserve">Indirect Attainment %</t>
  </si>
  <si>
    <t xml:space="preserve">Composite (70/30) %</t>
  </si>
  <si>
    <t xml:space="preserve">Met Threshold (&gt;=70%)</t>
  </si>
  <si>
    <t xml:space="preserve">CLO Level</t>
  </si>
  <si>
    <t xml:space="preserve">CLO1</t>
  </si>
  <si>
    <t xml:space="preserve">CLO2</t>
  </si>
  <si>
    <t xml:space="preserve">CLO3</t>
  </si>
  <si>
    <t xml:space="preserve">CLO4</t>
  </si>
  <si>
    <t xml:space="preserve">CLO5</t>
  </si>
  <si>
    <t xml:space="preserve">COURSE AVERAGE</t>
  </si>
  <si>
    <t xml:space="preserve">PER-STUDENT CLO ATTAINMENT (DIRECT + INDIRECT)</t>
  </si>
  <si>
    <t xml:space="preserve">Class averages can hide individual at-risk students. This table shows every student's Direct %, Indirect %, and Composite % per CLO, with an At-Risk flag (&lt; 70% composite).</t>
  </si>
  <si>
    <t xml:space="preserve">Student ID</t>
  </si>
  <si>
    <t xml:space="preserve">Student Name</t>
  </si>
  <si>
    <t xml:space="preserve">Direct %</t>
  </si>
  <si>
    <t xml:space="preserve">Indirect %</t>
  </si>
  <si>
    <t xml:space="preserve">Composite %</t>
  </si>
  <si>
    <t xml:space="preserve">At-Risk?</t>
  </si>
  <si>
    <t xml:space="preserve">2023-001</t>
  </si>
  <si>
    <t xml:space="preserve">Dela Cruz, Juan</t>
  </si>
  <si>
    <t xml:space="preserve">2023-002</t>
  </si>
  <si>
    <t xml:space="preserve">Santos, Maria</t>
  </si>
  <si>
    <t xml:space="preserve">2023-003</t>
  </si>
  <si>
    <t xml:space="preserve">Reyes, Pedro</t>
  </si>
  <si>
    <t xml:space="preserve">2023-004</t>
  </si>
  <si>
    <t xml:space="preserve">Garcia, Ana</t>
  </si>
  <si>
    <t xml:space="preserve">2023-005</t>
  </si>
  <si>
    <t xml:space="preserve">Torres, Miguel</t>
  </si>
  <si>
    <t xml:space="preserve">DIRECT CLO — PER-STUDENT RAW SCORES</t>
  </si>
  <si>
    <t xml:space="preserve">Legend: yellow cells = faculty input (raw score / max score per period). CLO columns are repeatable — copy a CLO block to add more CLOs.</t>
  </si>
  <si>
    <t xml:space="preserve">Prelim Score</t>
  </si>
  <si>
    <t xml:space="preserve">Prelim Max</t>
  </si>
  <si>
    <t xml:space="preserve">Midterm Score</t>
  </si>
  <si>
    <t xml:space="preserve">Midterm Max</t>
  </si>
  <si>
    <t xml:space="preserve">Final Score</t>
  </si>
  <si>
    <t xml:space="preserve">Final Max</t>
  </si>
  <si>
    <t xml:space="preserve">CLO1 Attainment %</t>
  </si>
  <si>
    <t xml:space="preserve">CLO2 Attainment %</t>
  </si>
  <si>
    <t xml:space="preserve">CLO3 Attainment %</t>
  </si>
  <si>
    <t xml:space="preserve">CLO4 Attainment %</t>
  </si>
  <si>
    <t xml:space="preserve">CLO5 Attainment %</t>
  </si>
  <si>
    <t xml:space="preserve">CLASS AVERAGE (Direct CLO Attainment %)</t>
  </si>
  <si>
    <t xml:space="preserve">INDIRECT CLO — COURSE EXIT SURVEY RESPONSES</t>
  </si>
  <si>
    <t xml:space="preserve">Legend: yellow cells = student survey response (1-5 Likert scale). 1=Strongly Disagree ... 5=Strongly Agree, on 'I feel I have developed [CLO objective].'</t>
  </si>
  <si>
    <t xml:space="preserve">CLO1 Rating (1-5)</t>
  </si>
  <si>
    <t xml:space="preserve">CLO2 Rating (1-5)</t>
  </si>
  <si>
    <t xml:space="preserve">CLO3 Rating (1-5)</t>
  </si>
  <si>
    <t xml:space="preserve">CLO4 Rating (1-5)</t>
  </si>
  <si>
    <t xml:space="preserve">CLO5 Rating (1-5)</t>
  </si>
  <si>
    <t xml:space="preserve">MEAN RATING (of 5)</t>
  </si>
  <si>
    <t xml:space="preserve">%age CO ATTAINMENT (Indirect)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</si>
</sst>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2" min="3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5" t="n">
        <v>0.7</v>
      </c>
    </row>
    <row r="13" customFormat="false" ht="35.05" hidden="false" customHeight="false" outlineLevel="0" collapsed="false">
      <c r="A13" s="6" t="s">
        <v>15</v>
      </c>
      <c r="B13" s="6" t="s">
        <v>16</v>
      </c>
      <c r="C13" s="6" t="s">
        <v>17</v>
      </c>
      <c r="D13" s="6" t="s">
        <v>18</v>
      </c>
      <c r="E13" s="6" t="s">
        <v>19</v>
      </c>
      <c r="F13" s="6" t="s">
        <v>20</v>
      </c>
    </row>
    <row r="14" customFormat="false" ht="15" hidden="false" customHeight="false" outlineLevel="0" collapsed="false">
      <c r="A14" s="7" t="s">
        <v>21</v>
      </c>
      <c r="B14" s="8" t="n">
        <f aca="false">'Direct CLO'!I11</f>
        <v>82.3333333333333</v>
      </c>
      <c r="C14" s="8" t="n">
        <f aca="false">'Indirect CLO'!C12</f>
        <v>56</v>
      </c>
      <c r="D14" s="8" t="n">
        <f aca="false">B14*0.7+C14*0.3</f>
        <v>74.4333333333333</v>
      </c>
      <c r="E14" s="9" t="str">
        <f aca="false">IF(D14&gt;=$B$10*100,"MET","NOT MET")</f>
        <v>MET</v>
      </c>
      <c r="F14" s="9" t="str">
        <f aca="false">IF(D14&gt;=85,"Exceptional",IF(D14&gt;=70,"Proficient",IF(D14&gt;=60,"Basic","Below Basic")))</f>
        <v>Proficient</v>
      </c>
    </row>
    <row r="15" customFormat="false" ht="15" hidden="false" customHeight="false" outlineLevel="0" collapsed="false">
      <c r="A15" s="7" t="s">
        <v>22</v>
      </c>
      <c r="B15" s="8" t="n">
        <f aca="false">'Direct CLO'!P11</f>
        <v>80</v>
      </c>
      <c r="C15" s="8" t="n">
        <f aca="false">'Indirect CLO'!E12</f>
        <v>68</v>
      </c>
      <c r="D15" s="8" t="n">
        <f aca="false">B15*0.7+C15*0.3</f>
        <v>76.4</v>
      </c>
      <c r="E15" s="9" t="str">
        <f aca="false">IF(D15&gt;=$B$10*100,"MET","NOT MET")</f>
        <v>MET</v>
      </c>
      <c r="F15" s="9" t="str">
        <f aca="false">IF(D15&gt;=85,"Exceptional",IF(D15&gt;=70,"Proficient",IF(D15&gt;=60,"Basic","Below Basic")))</f>
        <v>Proficient</v>
      </c>
    </row>
    <row r="16" customFormat="false" ht="15" hidden="false" customHeight="false" outlineLevel="0" collapsed="false">
      <c r="A16" s="7" t="s">
        <v>23</v>
      </c>
      <c r="B16" s="8" t="n">
        <f aca="false">'Direct CLO'!W11</f>
        <v>77.6666666666667</v>
      </c>
      <c r="C16" s="8" t="n">
        <f aca="false">'Indirect CLO'!G12</f>
        <v>80</v>
      </c>
      <c r="D16" s="8" t="n">
        <f aca="false">B16*0.7+C16*0.3</f>
        <v>78.3666666666667</v>
      </c>
      <c r="E16" s="9" t="str">
        <f aca="false">IF(D16&gt;=$B$10*100,"MET","NOT MET")</f>
        <v>MET</v>
      </c>
      <c r="F16" s="9" t="str">
        <f aca="false">IF(D16&gt;=85,"Exceptional",IF(D16&gt;=70,"Proficient",IF(D16&gt;=60,"Basic","Below Basic")))</f>
        <v>Proficient</v>
      </c>
    </row>
    <row r="17" customFormat="false" ht="15" hidden="false" customHeight="false" outlineLevel="0" collapsed="false">
      <c r="A17" s="7" t="s">
        <v>24</v>
      </c>
      <c r="B17" s="8" t="n">
        <f aca="false">'Direct CLO'!AD11</f>
        <v>77</v>
      </c>
      <c r="C17" s="8" t="n">
        <f aca="false">'Indirect CLO'!I12</f>
        <v>84</v>
      </c>
      <c r="D17" s="8" t="n">
        <f aca="false">B17*0.7+C17*0.3</f>
        <v>79.1</v>
      </c>
      <c r="E17" s="9" t="str">
        <f aca="false">IF(D17&gt;=$B$10*100,"MET","NOT MET")</f>
        <v>MET</v>
      </c>
      <c r="F17" s="9" t="str">
        <f aca="false">IF(D17&gt;=85,"Exceptional",IF(D17&gt;=70,"Proficient",IF(D17&gt;=60,"Basic","Below Basic")))</f>
        <v>Proficient</v>
      </c>
    </row>
    <row r="18" customFormat="false" ht="15" hidden="false" customHeight="false" outlineLevel="0" collapsed="false">
      <c r="A18" s="7" t="s">
        <v>25</v>
      </c>
      <c r="B18" s="8" t="n">
        <f aca="false">'Direct CLO'!AK11</f>
        <v>77.3333333333333</v>
      </c>
      <c r="C18" s="8" t="n">
        <f aca="false">'Indirect CLO'!K12</f>
        <v>76</v>
      </c>
      <c r="D18" s="8" t="n">
        <f aca="false">B18*0.7+C18*0.3</f>
        <v>76.9333333333333</v>
      </c>
      <c r="E18" s="9" t="str">
        <f aca="false">IF(D18&gt;=$B$10*100,"MET","NOT MET")</f>
        <v>MET</v>
      </c>
      <c r="F18" s="9" t="str">
        <f aca="false">IF(D18&gt;=85,"Exceptional",IF(D18&gt;=70,"Proficient",IF(D18&gt;=60,"Basic","Below Basic")))</f>
        <v>Proficient</v>
      </c>
    </row>
    <row r="19" customFormat="false" ht="15" hidden="false" customHeight="false" outlineLevel="0" collapsed="false">
      <c r="A19" s="10" t="s">
        <v>26</v>
      </c>
      <c r="B19" s="11" t="n">
        <f aca="false">AVERAGE(B14:B18)</f>
        <v>78.8666666666667</v>
      </c>
      <c r="C19" s="11" t="n">
        <f aca="false">AVERAGE(C14:C18)</f>
        <v>72.8</v>
      </c>
      <c r="D19" s="11" t="n">
        <f aca="false">AVERAGE(D14:D18)</f>
        <v>77.0466666666667</v>
      </c>
    </row>
    <row r="22" customFormat="false" ht="17.35" hidden="false" customHeight="false" outlineLevel="0" collapsed="false">
      <c r="A22" s="1" t="s">
        <v>27</v>
      </c>
      <c r="B22" s="1"/>
      <c r="C22" s="1"/>
      <c r="D22" s="1"/>
      <c r="E22" s="1"/>
      <c r="F22" s="1"/>
      <c r="G22" s="1"/>
      <c r="H22" s="1"/>
    </row>
    <row r="23" customFormat="false" ht="15" hidden="false" customHeight="false" outlineLevel="0" collapsed="false">
      <c r="A23" s="2" t="s">
        <v>28</v>
      </c>
      <c r="B23" s="2"/>
      <c r="C23" s="2"/>
      <c r="D23" s="2"/>
      <c r="E23" s="2"/>
      <c r="F23" s="2"/>
      <c r="G23" s="2"/>
      <c r="H23" s="2"/>
    </row>
    <row r="24" customFormat="false" ht="15" hidden="false" customHeight="true" outlineLevel="0" collapsed="false">
      <c r="C24" s="6" t="s">
        <v>21</v>
      </c>
      <c r="D24" s="6"/>
      <c r="E24" s="6"/>
      <c r="F24" s="6"/>
      <c r="G24" s="6" t="s">
        <v>22</v>
      </c>
      <c r="H24" s="6"/>
      <c r="I24" s="6"/>
      <c r="J24" s="6"/>
      <c r="K24" s="6" t="s">
        <v>23</v>
      </c>
      <c r="L24" s="6"/>
      <c r="M24" s="6"/>
      <c r="N24" s="6"/>
      <c r="O24" s="6" t="s">
        <v>24</v>
      </c>
      <c r="P24" s="6"/>
      <c r="Q24" s="6"/>
      <c r="R24" s="6"/>
      <c r="S24" s="6" t="s">
        <v>25</v>
      </c>
      <c r="T24" s="6"/>
      <c r="U24" s="6"/>
      <c r="V24" s="6"/>
    </row>
    <row r="25" customFormat="false" ht="15" hidden="false" customHeight="false" outlineLevel="0" collapsed="false">
      <c r="A25" s="6" t="s">
        <v>29</v>
      </c>
      <c r="B25" s="6" t="s">
        <v>30</v>
      </c>
      <c r="C25" s="6" t="s">
        <v>31</v>
      </c>
      <c r="D25" s="6" t="s">
        <v>32</v>
      </c>
      <c r="E25" s="6" t="s">
        <v>33</v>
      </c>
      <c r="F25" s="6" t="s">
        <v>34</v>
      </c>
      <c r="G25" s="6" t="s">
        <v>31</v>
      </c>
      <c r="H25" s="6" t="s">
        <v>32</v>
      </c>
      <c r="I25" s="6" t="s">
        <v>33</v>
      </c>
      <c r="J25" s="6" t="s">
        <v>34</v>
      </c>
      <c r="K25" s="6" t="s">
        <v>31</v>
      </c>
      <c r="L25" s="6" t="s">
        <v>32</v>
      </c>
      <c r="M25" s="6" t="s">
        <v>33</v>
      </c>
      <c r="N25" s="6" t="s">
        <v>34</v>
      </c>
      <c r="O25" s="6" t="s">
        <v>31</v>
      </c>
      <c r="P25" s="6" t="s">
        <v>32</v>
      </c>
      <c r="Q25" s="6" t="s">
        <v>33</v>
      </c>
      <c r="R25" s="6" t="s">
        <v>34</v>
      </c>
      <c r="S25" s="6" t="s">
        <v>31</v>
      </c>
      <c r="T25" s="6" t="s">
        <v>32</v>
      </c>
      <c r="U25" s="6" t="s">
        <v>33</v>
      </c>
      <c r="V25" s="6" t="s">
        <v>34</v>
      </c>
    </row>
    <row r="26" customFormat="false" ht="15" hidden="false" customHeight="false" outlineLevel="0" collapsed="false">
      <c r="A26" s="12" t="s">
        <v>35</v>
      </c>
      <c r="B26" s="12" t="s">
        <v>36</v>
      </c>
      <c r="C26" s="8" t="n">
        <f aca="false">'Direct CLO'!I5</f>
        <v>81.6666666666667</v>
      </c>
      <c r="D26" s="8" t="n">
        <f aca="false">'Indirect CLO'!D5</f>
        <v>80</v>
      </c>
      <c r="E26" s="8" t="n">
        <f aca="false">C26*0.7+D26*0.3</f>
        <v>81.1666666666667</v>
      </c>
      <c r="F26" s="9" t="str">
        <f aca="false">IF(E26&lt;70,"AT-RISK","OK")</f>
        <v>OK</v>
      </c>
      <c r="G26" s="8" t="n">
        <f aca="false">'Direct CLO'!P5</f>
        <v>75</v>
      </c>
      <c r="H26" s="8" t="n">
        <f aca="false">'Indirect CLO'!F5</f>
        <v>80</v>
      </c>
      <c r="I26" s="8" t="n">
        <f aca="false">G26*0.7+H26*0.3</f>
        <v>76.5</v>
      </c>
      <c r="J26" s="9" t="str">
        <f aca="false">IF(I26&lt;70,"AT-RISK","OK")</f>
        <v>OK</v>
      </c>
      <c r="K26" s="8" t="n">
        <f aca="false">'Direct CLO'!W5</f>
        <v>70</v>
      </c>
      <c r="L26" s="8" t="n">
        <f aca="false">'Indirect CLO'!H5</f>
        <v>80</v>
      </c>
      <c r="M26" s="8" t="n">
        <f aca="false">K26*0.7+L26*0.3</f>
        <v>73</v>
      </c>
      <c r="N26" s="9" t="str">
        <f aca="false">IF(M26&lt;70,"AT-RISK","OK")</f>
        <v>OK</v>
      </c>
      <c r="O26" s="8" t="n">
        <f aca="false">'Direct CLO'!AD5</f>
        <v>78.3333333333333</v>
      </c>
      <c r="P26" s="8" t="n">
        <f aca="false">'Indirect CLO'!J5</f>
        <v>100</v>
      </c>
      <c r="Q26" s="8" t="n">
        <f aca="false">O26*0.7+P26*0.3</f>
        <v>84.8333333333333</v>
      </c>
      <c r="R26" s="9" t="str">
        <f aca="false">IF(Q26&lt;70,"AT-RISK","OK")</f>
        <v>OK</v>
      </c>
      <c r="S26" s="8" t="n">
        <f aca="false">'Direct CLO'!AK5</f>
        <v>81.6666666666667</v>
      </c>
      <c r="T26" s="8" t="n">
        <f aca="false">'Indirect CLO'!L5</f>
        <v>100</v>
      </c>
      <c r="U26" s="8" t="n">
        <f aca="false">S26*0.7+T26*0.3</f>
        <v>87.1666666666667</v>
      </c>
      <c r="V26" s="9" t="str">
        <f aca="false">IF(U26&lt;70,"AT-RISK","OK")</f>
        <v>OK</v>
      </c>
    </row>
    <row r="27" customFormat="false" ht="15" hidden="false" customHeight="false" outlineLevel="0" collapsed="false">
      <c r="A27" s="12" t="s">
        <v>37</v>
      </c>
      <c r="B27" s="12" t="s">
        <v>38</v>
      </c>
      <c r="C27" s="8" t="n">
        <f aca="false">'Direct CLO'!I6</f>
        <v>68.3333333333333</v>
      </c>
      <c r="D27" s="8" t="n">
        <f aca="false">'Indirect CLO'!D6</f>
        <v>40</v>
      </c>
      <c r="E27" s="8" t="n">
        <f aca="false">C27*0.7+D27*0.3</f>
        <v>59.8333333333333</v>
      </c>
      <c r="F27" s="9" t="str">
        <f aca="false">IF(E27&lt;70,"AT-RISK","OK")</f>
        <v>AT-RISK</v>
      </c>
      <c r="G27" s="8" t="n">
        <f aca="false">'Direct CLO'!P6</f>
        <v>83.3333333333333</v>
      </c>
      <c r="H27" s="8" t="n">
        <f aca="false">'Indirect CLO'!F6</f>
        <v>40</v>
      </c>
      <c r="I27" s="8" t="n">
        <f aca="false">G27*0.7+H27*0.3</f>
        <v>70.3333333333333</v>
      </c>
      <c r="J27" s="9" t="str">
        <f aca="false">IF(I27&lt;70,"AT-RISK","OK")</f>
        <v>OK</v>
      </c>
      <c r="K27" s="8" t="n">
        <f aca="false">'Direct CLO'!W6</f>
        <v>66.6666666666667</v>
      </c>
      <c r="L27" s="8" t="n">
        <f aca="false">'Indirect CLO'!H6</f>
        <v>80</v>
      </c>
      <c r="M27" s="8" t="n">
        <f aca="false">K27*0.7+L27*0.3</f>
        <v>70.6666666666667</v>
      </c>
      <c r="N27" s="9" t="str">
        <f aca="false">IF(M27&lt;70,"AT-RISK","OK")</f>
        <v>OK</v>
      </c>
      <c r="O27" s="8" t="n">
        <f aca="false">'Direct CLO'!AD6</f>
        <v>75</v>
      </c>
      <c r="P27" s="8" t="n">
        <f aca="false">'Indirect CLO'!J6</f>
        <v>100</v>
      </c>
      <c r="Q27" s="8" t="n">
        <f aca="false">O27*0.7+P27*0.3</f>
        <v>82.5</v>
      </c>
      <c r="R27" s="9" t="str">
        <f aca="false">IF(Q27&lt;70,"AT-RISK","OK")</f>
        <v>OK</v>
      </c>
      <c r="S27" s="8" t="n">
        <f aca="false">'Direct CLO'!AK6</f>
        <v>76.6666666666667</v>
      </c>
      <c r="T27" s="8" t="n">
        <f aca="false">'Indirect CLO'!L6</f>
        <v>40</v>
      </c>
      <c r="U27" s="8" t="n">
        <f aca="false">S27*0.7+T27*0.3</f>
        <v>65.6666666666667</v>
      </c>
      <c r="V27" s="9" t="str">
        <f aca="false">IF(U27&lt;70,"AT-RISK","OK")</f>
        <v>AT-RISK</v>
      </c>
    </row>
    <row r="28" customFormat="false" ht="15" hidden="false" customHeight="false" outlineLevel="0" collapsed="false">
      <c r="A28" s="12" t="s">
        <v>39</v>
      </c>
      <c r="B28" s="12" t="s">
        <v>40</v>
      </c>
      <c r="C28" s="8" t="n">
        <f aca="false">'Direct CLO'!I7</f>
        <v>80</v>
      </c>
      <c r="D28" s="8" t="n">
        <f aca="false">'Indirect CLO'!D7</f>
        <v>40</v>
      </c>
      <c r="E28" s="8" t="n">
        <f aca="false">C28*0.7+D28*0.3</f>
        <v>68</v>
      </c>
      <c r="F28" s="9" t="str">
        <f aca="false">IF(E28&lt;70,"AT-RISK","OK")</f>
        <v>AT-RISK</v>
      </c>
      <c r="G28" s="8" t="n">
        <f aca="false">'Direct CLO'!P7</f>
        <v>81.6666666666667</v>
      </c>
      <c r="H28" s="8" t="n">
        <f aca="false">'Indirect CLO'!F7</f>
        <v>80</v>
      </c>
      <c r="I28" s="8" t="n">
        <f aca="false">G28*0.7+H28*0.3</f>
        <v>81.1666666666667</v>
      </c>
      <c r="J28" s="9" t="str">
        <f aca="false">IF(I28&lt;70,"AT-RISK","OK")</f>
        <v>OK</v>
      </c>
      <c r="K28" s="8" t="n">
        <f aca="false">'Direct CLO'!W7</f>
        <v>78.3333333333333</v>
      </c>
      <c r="L28" s="8" t="n">
        <f aca="false">'Indirect CLO'!H7</f>
        <v>100</v>
      </c>
      <c r="M28" s="8" t="n">
        <f aca="false">K28*0.7+L28*0.3</f>
        <v>84.8333333333333</v>
      </c>
      <c r="N28" s="9" t="str">
        <f aca="false">IF(M28&lt;70,"AT-RISK","OK")</f>
        <v>OK</v>
      </c>
      <c r="O28" s="8" t="n">
        <f aca="false">'Direct CLO'!AD7</f>
        <v>75</v>
      </c>
      <c r="P28" s="8" t="n">
        <f aca="false">'Indirect CLO'!J7</f>
        <v>80</v>
      </c>
      <c r="Q28" s="8" t="n">
        <f aca="false">O28*0.7+P28*0.3</f>
        <v>76.5</v>
      </c>
      <c r="R28" s="9" t="str">
        <f aca="false">IF(Q28&lt;70,"AT-RISK","OK")</f>
        <v>OK</v>
      </c>
      <c r="S28" s="8" t="n">
        <f aca="false">'Direct CLO'!AK7</f>
        <v>75</v>
      </c>
      <c r="T28" s="8" t="n">
        <f aca="false">'Indirect CLO'!L7</f>
        <v>100</v>
      </c>
      <c r="U28" s="8" t="n">
        <f aca="false">S28*0.7+T28*0.3</f>
        <v>82.5</v>
      </c>
      <c r="V28" s="9" t="str">
        <f aca="false">IF(U28&lt;70,"AT-RISK","OK")</f>
        <v>OK</v>
      </c>
    </row>
    <row r="29" customFormat="false" ht="15" hidden="false" customHeight="false" outlineLevel="0" collapsed="false">
      <c r="A29" s="12" t="s">
        <v>41</v>
      </c>
      <c r="B29" s="12" t="s">
        <v>42</v>
      </c>
      <c r="C29" s="8" t="n">
        <f aca="false">'Direct CLO'!I8</f>
        <v>90</v>
      </c>
      <c r="D29" s="8" t="n">
        <f aca="false">'Indirect CLO'!D8</f>
        <v>80</v>
      </c>
      <c r="E29" s="8" t="n">
        <f aca="false">C29*0.7+D29*0.3</f>
        <v>87</v>
      </c>
      <c r="F29" s="9" t="str">
        <f aca="false">IF(E29&lt;70,"AT-RISK","OK")</f>
        <v>OK</v>
      </c>
      <c r="G29" s="8" t="n">
        <f aca="false">'Direct CLO'!P8</f>
        <v>90</v>
      </c>
      <c r="H29" s="8" t="n">
        <f aca="false">'Indirect CLO'!F8</f>
        <v>40</v>
      </c>
      <c r="I29" s="8" t="n">
        <f aca="false">G29*0.7+H29*0.3</f>
        <v>75</v>
      </c>
      <c r="J29" s="9" t="str">
        <f aca="false">IF(I29&lt;70,"AT-RISK","OK")</f>
        <v>OK</v>
      </c>
      <c r="K29" s="8" t="n">
        <f aca="false">'Direct CLO'!W8</f>
        <v>86.6666666666667</v>
      </c>
      <c r="L29" s="8" t="n">
        <f aca="false">'Indirect CLO'!H8</f>
        <v>100</v>
      </c>
      <c r="M29" s="8" t="n">
        <f aca="false">K29*0.7+L29*0.3</f>
        <v>90.6666666666667</v>
      </c>
      <c r="N29" s="9" t="str">
        <f aca="false">IF(M29&lt;70,"AT-RISK","OK")</f>
        <v>OK</v>
      </c>
      <c r="O29" s="8" t="n">
        <f aca="false">'Direct CLO'!AD8</f>
        <v>73.3333333333333</v>
      </c>
      <c r="P29" s="8" t="n">
        <f aca="false">'Indirect CLO'!J8</f>
        <v>80</v>
      </c>
      <c r="Q29" s="8" t="n">
        <f aca="false">O29*0.7+P29*0.3</f>
        <v>75.3333333333333</v>
      </c>
      <c r="R29" s="9" t="str">
        <f aca="false">IF(Q29&lt;70,"AT-RISK","OK")</f>
        <v>OK</v>
      </c>
      <c r="S29" s="8" t="n">
        <f aca="false">'Direct CLO'!AK8</f>
        <v>81.6666666666667</v>
      </c>
      <c r="T29" s="8" t="n">
        <f aca="false">'Indirect CLO'!L8</f>
        <v>60</v>
      </c>
      <c r="U29" s="8" t="n">
        <f aca="false">S29*0.7+T29*0.3</f>
        <v>75.1666666666667</v>
      </c>
      <c r="V29" s="9" t="str">
        <f aca="false">IF(U29&lt;70,"AT-RISK","OK")</f>
        <v>OK</v>
      </c>
    </row>
    <row r="30" customFormat="false" ht="15" hidden="false" customHeight="false" outlineLevel="0" collapsed="false">
      <c r="A30" s="12" t="s">
        <v>43</v>
      </c>
      <c r="B30" s="12" t="s">
        <v>44</v>
      </c>
      <c r="C30" s="8" t="n">
        <f aca="false">'Direct CLO'!I9</f>
        <v>91.6666666666667</v>
      </c>
      <c r="D30" s="8" t="n">
        <f aca="false">'Indirect CLO'!D9</f>
        <v>40</v>
      </c>
      <c r="E30" s="8" t="n">
        <f aca="false">C30*0.7+D30*0.3</f>
        <v>76.1666666666667</v>
      </c>
      <c r="F30" s="9" t="str">
        <f aca="false">IF(E30&lt;70,"AT-RISK","OK")</f>
        <v>OK</v>
      </c>
      <c r="G30" s="8" t="n">
        <f aca="false">'Direct CLO'!P9</f>
        <v>70</v>
      </c>
      <c r="H30" s="8" t="n">
        <f aca="false">'Indirect CLO'!F9</f>
        <v>100</v>
      </c>
      <c r="I30" s="8" t="n">
        <f aca="false">G30*0.7+H30*0.3</f>
        <v>79</v>
      </c>
      <c r="J30" s="9" t="str">
        <f aca="false">IF(I30&lt;70,"AT-RISK","OK")</f>
        <v>OK</v>
      </c>
      <c r="K30" s="8" t="n">
        <f aca="false">'Direct CLO'!W9</f>
        <v>86.6666666666667</v>
      </c>
      <c r="L30" s="8" t="n">
        <f aca="false">'Indirect CLO'!H9</f>
        <v>40</v>
      </c>
      <c r="M30" s="8" t="n">
        <f aca="false">K30*0.7+L30*0.3</f>
        <v>72.6666666666667</v>
      </c>
      <c r="N30" s="9" t="str">
        <f aca="false">IF(M30&lt;70,"AT-RISK","OK")</f>
        <v>OK</v>
      </c>
      <c r="O30" s="8" t="n">
        <f aca="false">'Direct CLO'!AD9</f>
        <v>83.3333333333333</v>
      </c>
      <c r="P30" s="8" t="n">
        <f aca="false">'Indirect CLO'!J9</f>
        <v>60</v>
      </c>
      <c r="Q30" s="8" t="n">
        <f aca="false">O30*0.7+P30*0.3</f>
        <v>76.3333333333333</v>
      </c>
      <c r="R30" s="9" t="str">
        <f aca="false">IF(Q30&lt;70,"AT-RISK","OK")</f>
        <v>OK</v>
      </c>
      <c r="S30" s="8" t="n">
        <f aca="false">'Direct CLO'!AK9</f>
        <v>71.6666666666667</v>
      </c>
      <c r="T30" s="8" t="n">
        <f aca="false">'Indirect CLO'!L9</f>
        <v>80</v>
      </c>
      <c r="U30" s="8" t="n">
        <f aca="false">S30*0.7+T30*0.3</f>
        <v>74.1666666666667</v>
      </c>
      <c r="V30" s="9" t="str">
        <f aca="false">IF(U30&lt;70,"AT-RISK","OK")</f>
        <v>OK</v>
      </c>
    </row>
  </sheetData>
  <mergeCells count="9">
    <mergeCell ref="A1:H1"/>
    <mergeCell ref="A2:H2"/>
    <mergeCell ref="A22:H22"/>
    <mergeCell ref="A23:H23"/>
    <mergeCell ref="C24:F24"/>
    <mergeCell ref="G24:J24"/>
    <mergeCell ref="K24:N24"/>
    <mergeCell ref="O24:R24"/>
    <mergeCell ref="S24:V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23" min="23" style="0" width="14"/>
    <col collapsed="false" customWidth="true" hidden="false" outlineLevel="0" max="24" min="24" style="0" width="11"/>
    <col collapsed="false" customWidth="true" hidden="false" outlineLevel="0" max="25" min="25" style="0" width="10"/>
    <col collapsed="false" customWidth="true" hidden="false" outlineLevel="0" max="26" min="26" style="0" width="11"/>
    <col collapsed="false" customWidth="true" hidden="false" outlineLevel="0" max="27" min="27" style="0" width="10"/>
    <col collapsed="false" customWidth="true" hidden="false" outlineLevel="0" max="28" min="28" style="0" width="11"/>
    <col collapsed="false" customWidth="true" hidden="false" outlineLevel="0" max="29" min="29" style="0" width="10"/>
    <col collapsed="false" customWidth="true" hidden="false" outlineLevel="0" max="30" min="30" style="0" width="14"/>
    <col collapsed="false" customWidth="true" hidden="false" outlineLevel="0" max="31" min="31" style="0" width="11"/>
    <col collapsed="false" customWidth="true" hidden="false" outlineLevel="0" max="32" min="32" style="0" width="10"/>
    <col collapsed="false" customWidth="true" hidden="false" outlineLevel="0" max="33" min="33" style="0" width="11"/>
    <col collapsed="false" customWidth="true" hidden="false" outlineLevel="0" max="34" min="34" style="0" width="10"/>
    <col collapsed="false" customWidth="true" hidden="false" outlineLevel="0" max="35" min="35" style="0" width="11"/>
    <col collapsed="false" customWidth="true" hidden="false" outlineLevel="0" max="36" min="36" style="0" width="10"/>
    <col collapsed="false" customWidth="true" hidden="false" outlineLevel="0" max="37" min="37" style="0" width="14"/>
  </cols>
  <sheetData>
    <row r="1" customFormat="false" ht="17.35" hidden="false" customHeight="false" outlineLevel="0" collapsed="false">
      <c r="A1" s="1" t="s">
        <v>45</v>
      </c>
      <c r="B1" s="1"/>
      <c r="C1" s="1"/>
      <c r="D1" s="1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C3" s="13" t="s">
        <v>21</v>
      </c>
      <c r="D3" s="13"/>
      <c r="E3" s="13"/>
      <c r="F3" s="13"/>
      <c r="G3" s="13"/>
      <c r="H3" s="13"/>
      <c r="I3" s="13"/>
      <c r="J3" s="13" t="s">
        <v>22</v>
      </c>
      <c r="K3" s="13"/>
      <c r="L3" s="13"/>
      <c r="M3" s="13"/>
      <c r="N3" s="13"/>
      <c r="O3" s="13"/>
      <c r="P3" s="13"/>
      <c r="Q3" s="13" t="s">
        <v>23</v>
      </c>
      <c r="R3" s="13"/>
      <c r="S3" s="13"/>
      <c r="T3" s="13"/>
      <c r="U3" s="13"/>
      <c r="V3" s="13"/>
      <c r="W3" s="13"/>
      <c r="X3" s="13" t="s">
        <v>24</v>
      </c>
      <c r="Y3" s="13"/>
      <c r="Z3" s="13"/>
      <c r="AA3" s="13"/>
      <c r="AB3" s="13"/>
      <c r="AC3" s="13"/>
      <c r="AD3" s="13"/>
      <c r="AE3" s="13" t="s">
        <v>25</v>
      </c>
      <c r="AF3" s="13"/>
      <c r="AG3" s="13"/>
      <c r="AH3" s="13"/>
      <c r="AI3" s="13"/>
      <c r="AJ3" s="13"/>
      <c r="AK3" s="13"/>
    </row>
    <row r="4" customFormat="false" ht="23.85" hidden="false" customHeight="false" outlineLevel="0" collapsed="false">
      <c r="A4" s="6" t="s">
        <v>29</v>
      </c>
      <c r="B4" s="6" t="s">
        <v>30</v>
      </c>
      <c r="C4" s="6" t="s">
        <v>47</v>
      </c>
      <c r="D4" s="6" t="s">
        <v>48</v>
      </c>
      <c r="E4" s="6" t="s">
        <v>49</v>
      </c>
      <c r="F4" s="6" t="s">
        <v>50</v>
      </c>
      <c r="G4" s="6" t="s">
        <v>51</v>
      </c>
      <c r="H4" s="6" t="s">
        <v>52</v>
      </c>
      <c r="I4" s="6" t="s">
        <v>53</v>
      </c>
      <c r="J4" s="6" t="s">
        <v>47</v>
      </c>
      <c r="K4" s="6" t="s">
        <v>48</v>
      </c>
      <c r="L4" s="6" t="s">
        <v>49</v>
      </c>
      <c r="M4" s="6" t="s">
        <v>50</v>
      </c>
      <c r="N4" s="6" t="s">
        <v>51</v>
      </c>
      <c r="O4" s="6" t="s">
        <v>52</v>
      </c>
      <c r="P4" s="6" t="s">
        <v>54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55</v>
      </c>
      <c r="X4" s="6" t="s">
        <v>47</v>
      </c>
      <c r="Y4" s="6" t="s">
        <v>48</v>
      </c>
      <c r="Z4" s="6" t="s">
        <v>49</v>
      </c>
      <c r="AA4" s="6" t="s">
        <v>50</v>
      </c>
      <c r="AB4" s="6" t="s">
        <v>51</v>
      </c>
      <c r="AC4" s="6" t="s">
        <v>52</v>
      </c>
      <c r="AD4" s="6" t="s">
        <v>56</v>
      </c>
      <c r="AE4" s="6" t="s">
        <v>47</v>
      </c>
      <c r="AF4" s="6" t="s">
        <v>48</v>
      </c>
      <c r="AG4" s="6" t="s">
        <v>49</v>
      </c>
      <c r="AH4" s="6" t="s">
        <v>50</v>
      </c>
      <c r="AI4" s="6" t="s">
        <v>51</v>
      </c>
      <c r="AJ4" s="6" t="s">
        <v>52</v>
      </c>
      <c r="AK4" s="6" t="s">
        <v>57</v>
      </c>
    </row>
    <row r="5" customFormat="false" ht="15" hidden="false" customHeight="false" outlineLevel="0" collapsed="false">
      <c r="A5" s="14" t="s">
        <v>35</v>
      </c>
      <c r="B5" s="14" t="s">
        <v>36</v>
      </c>
      <c r="C5" s="15" t="n">
        <v>17</v>
      </c>
      <c r="D5" s="15" t="n">
        <v>20</v>
      </c>
      <c r="E5" s="15" t="n">
        <v>14</v>
      </c>
      <c r="F5" s="15" t="n">
        <v>20</v>
      </c>
      <c r="G5" s="15" t="n">
        <v>18</v>
      </c>
      <c r="H5" s="15" t="n">
        <v>20</v>
      </c>
      <c r="I5" s="16" t="n">
        <f aca="false">IFERROR((C5+E5+G5)/(D5+F5+H5)*100,0)</f>
        <v>81.6666666666667</v>
      </c>
      <c r="J5" s="15" t="n">
        <v>12</v>
      </c>
      <c r="K5" s="15" t="n">
        <v>20</v>
      </c>
      <c r="L5" s="15" t="n">
        <v>13</v>
      </c>
      <c r="M5" s="15" t="n">
        <v>20</v>
      </c>
      <c r="N5" s="15" t="n">
        <v>20</v>
      </c>
      <c r="O5" s="15" t="n">
        <v>20</v>
      </c>
      <c r="P5" s="16" t="n">
        <f aca="false">IFERROR((J5+L5+N5)/(K5+M5+O5)*100,0)</f>
        <v>75</v>
      </c>
      <c r="Q5" s="15" t="n">
        <v>13</v>
      </c>
      <c r="R5" s="15" t="n">
        <v>20</v>
      </c>
      <c r="S5" s="15" t="n">
        <v>17</v>
      </c>
      <c r="T5" s="15" t="n">
        <v>20</v>
      </c>
      <c r="U5" s="15" t="n">
        <v>12</v>
      </c>
      <c r="V5" s="15" t="n">
        <v>20</v>
      </c>
      <c r="W5" s="16" t="n">
        <f aca="false">IFERROR((Q5+S5+U5)/(R5+T5+V5)*100,0)</f>
        <v>70</v>
      </c>
      <c r="X5" s="15" t="n">
        <v>20</v>
      </c>
      <c r="Y5" s="15" t="n">
        <v>20</v>
      </c>
      <c r="Z5" s="15" t="n">
        <v>15</v>
      </c>
      <c r="AA5" s="15" t="n">
        <v>20</v>
      </c>
      <c r="AB5" s="15" t="n">
        <v>12</v>
      </c>
      <c r="AC5" s="15" t="n">
        <v>20</v>
      </c>
      <c r="AD5" s="16" t="n">
        <f aca="false">IFERROR((X5+Z5+AB5)/(Y5+AA5+AC5)*100,0)</f>
        <v>78.3333333333333</v>
      </c>
      <c r="AE5" s="15" t="n">
        <v>13</v>
      </c>
      <c r="AF5" s="15" t="n">
        <v>20</v>
      </c>
      <c r="AG5" s="15" t="n">
        <v>18</v>
      </c>
      <c r="AH5" s="15" t="n">
        <v>20</v>
      </c>
      <c r="AI5" s="15" t="n">
        <v>18</v>
      </c>
      <c r="AJ5" s="15" t="n">
        <v>20</v>
      </c>
      <c r="AK5" s="16" t="n">
        <f aca="false">IFERROR((AE5+AG5+AI5)/(AF5+AH5+AJ5)*100,0)</f>
        <v>81.6666666666667</v>
      </c>
    </row>
    <row r="6" customFormat="false" ht="15" hidden="false" customHeight="false" outlineLevel="0" collapsed="false">
      <c r="A6" s="14" t="s">
        <v>37</v>
      </c>
      <c r="B6" s="14" t="s">
        <v>38</v>
      </c>
      <c r="C6" s="15" t="n">
        <v>13</v>
      </c>
      <c r="D6" s="15" t="n">
        <v>20</v>
      </c>
      <c r="E6" s="15" t="n">
        <v>15</v>
      </c>
      <c r="F6" s="15" t="n">
        <v>20</v>
      </c>
      <c r="G6" s="15" t="n">
        <v>13</v>
      </c>
      <c r="H6" s="15" t="n">
        <v>20</v>
      </c>
      <c r="I6" s="16" t="n">
        <f aca="false">IFERROR((C6+E6+G6)/(D6+F6+H6)*100,0)</f>
        <v>68.3333333333333</v>
      </c>
      <c r="J6" s="15" t="n">
        <v>20</v>
      </c>
      <c r="K6" s="15" t="n">
        <v>20</v>
      </c>
      <c r="L6" s="15" t="n">
        <v>18</v>
      </c>
      <c r="M6" s="15" t="n">
        <v>20</v>
      </c>
      <c r="N6" s="15" t="n">
        <v>12</v>
      </c>
      <c r="O6" s="15" t="n">
        <v>20</v>
      </c>
      <c r="P6" s="16" t="n">
        <f aca="false">IFERROR((J6+L6+N6)/(K6+M6+O6)*100,0)</f>
        <v>83.3333333333333</v>
      </c>
      <c r="Q6" s="15" t="n">
        <v>13</v>
      </c>
      <c r="R6" s="15" t="n">
        <v>20</v>
      </c>
      <c r="S6" s="15" t="n">
        <v>15</v>
      </c>
      <c r="T6" s="15" t="n">
        <v>20</v>
      </c>
      <c r="U6" s="15" t="n">
        <v>12</v>
      </c>
      <c r="V6" s="15" t="n">
        <v>20</v>
      </c>
      <c r="W6" s="16" t="n">
        <f aca="false">IFERROR((Q6+S6+U6)/(R6+T6+V6)*100,0)</f>
        <v>66.6666666666667</v>
      </c>
      <c r="X6" s="15" t="n">
        <v>18</v>
      </c>
      <c r="Y6" s="15" t="n">
        <v>20</v>
      </c>
      <c r="Z6" s="15" t="n">
        <v>12</v>
      </c>
      <c r="AA6" s="15" t="n">
        <v>20</v>
      </c>
      <c r="AB6" s="15" t="n">
        <v>15</v>
      </c>
      <c r="AC6" s="15" t="n">
        <v>20</v>
      </c>
      <c r="AD6" s="16" t="n">
        <f aca="false">IFERROR((X6+Z6+AB6)/(Y6+AA6+AC6)*100,0)</f>
        <v>75</v>
      </c>
      <c r="AE6" s="15" t="n">
        <v>12</v>
      </c>
      <c r="AF6" s="15" t="n">
        <v>20</v>
      </c>
      <c r="AG6" s="15" t="n">
        <v>20</v>
      </c>
      <c r="AH6" s="15" t="n">
        <v>20</v>
      </c>
      <c r="AI6" s="15" t="n">
        <v>14</v>
      </c>
      <c r="AJ6" s="15" t="n">
        <v>20</v>
      </c>
      <c r="AK6" s="16" t="n">
        <f aca="false">IFERROR((AE6+AG6+AI6)/(AF6+AH6+AJ6)*100,0)</f>
        <v>76.6666666666667</v>
      </c>
    </row>
    <row r="7" customFormat="false" ht="15" hidden="false" customHeight="false" outlineLevel="0" collapsed="false">
      <c r="A7" s="14" t="s">
        <v>39</v>
      </c>
      <c r="B7" s="14" t="s">
        <v>40</v>
      </c>
      <c r="C7" s="15" t="n">
        <v>16</v>
      </c>
      <c r="D7" s="15" t="n">
        <v>20</v>
      </c>
      <c r="E7" s="15" t="n">
        <v>18</v>
      </c>
      <c r="F7" s="15" t="n">
        <v>20</v>
      </c>
      <c r="G7" s="15" t="n">
        <v>14</v>
      </c>
      <c r="H7" s="15" t="n">
        <v>20</v>
      </c>
      <c r="I7" s="16" t="n">
        <f aca="false">IFERROR((C7+E7+G7)/(D7+F7+H7)*100,0)</f>
        <v>80</v>
      </c>
      <c r="J7" s="15" t="n">
        <v>20</v>
      </c>
      <c r="K7" s="15" t="n">
        <v>20</v>
      </c>
      <c r="L7" s="15" t="n">
        <v>13</v>
      </c>
      <c r="M7" s="15" t="n">
        <v>20</v>
      </c>
      <c r="N7" s="15" t="n">
        <v>16</v>
      </c>
      <c r="O7" s="15" t="n">
        <v>20</v>
      </c>
      <c r="P7" s="16" t="n">
        <f aca="false">IFERROR((J7+L7+N7)/(K7+M7+O7)*100,0)</f>
        <v>81.6666666666667</v>
      </c>
      <c r="Q7" s="15" t="n">
        <v>20</v>
      </c>
      <c r="R7" s="15" t="n">
        <v>20</v>
      </c>
      <c r="S7" s="15" t="n">
        <v>14</v>
      </c>
      <c r="T7" s="15" t="n">
        <v>20</v>
      </c>
      <c r="U7" s="15" t="n">
        <v>13</v>
      </c>
      <c r="V7" s="15" t="n">
        <v>20</v>
      </c>
      <c r="W7" s="16" t="n">
        <f aca="false">IFERROR((Q7+S7+U7)/(R7+T7+V7)*100,0)</f>
        <v>78.3333333333333</v>
      </c>
      <c r="X7" s="15" t="n">
        <v>15</v>
      </c>
      <c r="Y7" s="15" t="n">
        <v>20</v>
      </c>
      <c r="Z7" s="15" t="n">
        <v>17</v>
      </c>
      <c r="AA7" s="15" t="n">
        <v>20</v>
      </c>
      <c r="AB7" s="15" t="n">
        <v>13</v>
      </c>
      <c r="AC7" s="15" t="n">
        <v>20</v>
      </c>
      <c r="AD7" s="16" t="n">
        <f aca="false">IFERROR((X7+Z7+AB7)/(Y7+AA7+AC7)*100,0)</f>
        <v>75</v>
      </c>
      <c r="AE7" s="15" t="n">
        <v>20</v>
      </c>
      <c r="AF7" s="15" t="n">
        <v>20</v>
      </c>
      <c r="AG7" s="15" t="n">
        <v>13</v>
      </c>
      <c r="AH7" s="15" t="n">
        <v>20</v>
      </c>
      <c r="AI7" s="15" t="n">
        <v>12</v>
      </c>
      <c r="AJ7" s="15" t="n">
        <v>20</v>
      </c>
      <c r="AK7" s="16" t="n">
        <f aca="false">IFERROR((AE7+AG7+AI7)/(AF7+AH7+AJ7)*100,0)</f>
        <v>75</v>
      </c>
    </row>
    <row r="8" customFormat="false" ht="15" hidden="false" customHeight="false" outlineLevel="0" collapsed="false">
      <c r="A8" s="14" t="s">
        <v>41</v>
      </c>
      <c r="B8" s="14" t="s">
        <v>42</v>
      </c>
      <c r="C8" s="15" t="n">
        <v>15</v>
      </c>
      <c r="D8" s="15" t="n">
        <v>20</v>
      </c>
      <c r="E8" s="15" t="n">
        <v>19</v>
      </c>
      <c r="F8" s="15" t="n">
        <v>20</v>
      </c>
      <c r="G8" s="15" t="n">
        <v>20</v>
      </c>
      <c r="H8" s="15" t="n">
        <v>20</v>
      </c>
      <c r="I8" s="16" t="n">
        <f aca="false">IFERROR((C8+E8+G8)/(D8+F8+H8)*100,0)</f>
        <v>90</v>
      </c>
      <c r="J8" s="15" t="n">
        <v>18</v>
      </c>
      <c r="K8" s="15" t="n">
        <v>20</v>
      </c>
      <c r="L8" s="15" t="n">
        <v>17</v>
      </c>
      <c r="M8" s="15" t="n">
        <v>20</v>
      </c>
      <c r="N8" s="15" t="n">
        <v>19</v>
      </c>
      <c r="O8" s="15" t="n">
        <v>20</v>
      </c>
      <c r="P8" s="16" t="n">
        <f aca="false">IFERROR((J8+L8+N8)/(K8+M8+O8)*100,0)</f>
        <v>90</v>
      </c>
      <c r="Q8" s="15" t="n">
        <v>19</v>
      </c>
      <c r="R8" s="15" t="n">
        <v>20</v>
      </c>
      <c r="S8" s="15" t="n">
        <v>17</v>
      </c>
      <c r="T8" s="15" t="n">
        <v>20</v>
      </c>
      <c r="U8" s="15" t="n">
        <v>16</v>
      </c>
      <c r="V8" s="15" t="n">
        <v>20</v>
      </c>
      <c r="W8" s="16" t="n">
        <f aca="false">IFERROR((Q8+S8+U8)/(R8+T8+V8)*100,0)</f>
        <v>86.6666666666667</v>
      </c>
      <c r="X8" s="15" t="n">
        <v>15</v>
      </c>
      <c r="Y8" s="15" t="n">
        <v>20</v>
      </c>
      <c r="Z8" s="15" t="n">
        <v>14</v>
      </c>
      <c r="AA8" s="15" t="n">
        <v>20</v>
      </c>
      <c r="AB8" s="15" t="n">
        <v>15</v>
      </c>
      <c r="AC8" s="15" t="n">
        <v>20</v>
      </c>
      <c r="AD8" s="16" t="n">
        <f aca="false">IFERROR((X8+Z8+AB8)/(Y8+AA8+AC8)*100,0)</f>
        <v>73.3333333333333</v>
      </c>
      <c r="AE8" s="15" t="n">
        <v>13</v>
      </c>
      <c r="AF8" s="15" t="n">
        <v>20</v>
      </c>
      <c r="AG8" s="15" t="n">
        <v>16</v>
      </c>
      <c r="AH8" s="15" t="n">
        <v>20</v>
      </c>
      <c r="AI8" s="15" t="n">
        <v>20</v>
      </c>
      <c r="AJ8" s="15" t="n">
        <v>20</v>
      </c>
      <c r="AK8" s="16" t="n">
        <f aca="false">IFERROR((AE8+AG8+AI8)/(AF8+AH8+AJ8)*100,0)</f>
        <v>81.6666666666667</v>
      </c>
    </row>
    <row r="9" customFormat="false" ht="15" hidden="false" customHeight="false" outlineLevel="0" collapsed="false">
      <c r="A9" s="14" t="s">
        <v>43</v>
      </c>
      <c r="B9" s="14" t="s">
        <v>44</v>
      </c>
      <c r="C9" s="15" t="n">
        <v>19</v>
      </c>
      <c r="D9" s="15" t="n">
        <v>20</v>
      </c>
      <c r="E9" s="15" t="n">
        <v>17</v>
      </c>
      <c r="F9" s="15" t="n">
        <v>20</v>
      </c>
      <c r="G9" s="15" t="n">
        <v>19</v>
      </c>
      <c r="H9" s="15" t="n">
        <v>20</v>
      </c>
      <c r="I9" s="16" t="n">
        <f aca="false">IFERROR((C9+E9+G9)/(D9+F9+H9)*100,0)</f>
        <v>91.6666666666667</v>
      </c>
      <c r="J9" s="15" t="n">
        <v>16</v>
      </c>
      <c r="K9" s="15" t="n">
        <v>20</v>
      </c>
      <c r="L9" s="15" t="n">
        <v>13</v>
      </c>
      <c r="M9" s="15" t="n">
        <v>20</v>
      </c>
      <c r="N9" s="15" t="n">
        <v>13</v>
      </c>
      <c r="O9" s="15" t="n">
        <v>20</v>
      </c>
      <c r="P9" s="16" t="n">
        <f aca="false">IFERROR((J9+L9+N9)/(K9+M9+O9)*100,0)</f>
        <v>70</v>
      </c>
      <c r="Q9" s="15" t="n">
        <v>20</v>
      </c>
      <c r="R9" s="15" t="n">
        <v>20</v>
      </c>
      <c r="S9" s="15" t="n">
        <v>18</v>
      </c>
      <c r="T9" s="15" t="n">
        <v>20</v>
      </c>
      <c r="U9" s="15" t="n">
        <v>14</v>
      </c>
      <c r="V9" s="15" t="n">
        <v>20</v>
      </c>
      <c r="W9" s="16" t="n">
        <f aca="false">IFERROR((Q9+S9+U9)/(R9+T9+V9)*100,0)</f>
        <v>86.6666666666667</v>
      </c>
      <c r="X9" s="15" t="n">
        <v>17</v>
      </c>
      <c r="Y9" s="15" t="n">
        <v>20</v>
      </c>
      <c r="Z9" s="15" t="n">
        <v>14</v>
      </c>
      <c r="AA9" s="15" t="n">
        <v>20</v>
      </c>
      <c r="AB9" s="15" t="n">
        <v>19</v>
      </c>
      <c r="AC9" s="15" t="n">
        <v>20</v>
      </c>
      <c r="AD9" s="16" t="n">
        <f aca="false">IFERROR((X9+Z9+AB9)/(Y9+AA9+AC9)*100,0)</f>
        <v>83.3333333333333</v>
      </c>
      <c r="AE9" s="15" t="n">
        <v>18</v>
      </c>
      <c r="AF9" s="15" t="n">
        <v>20</v>
      </c>
      <c r="AG9" s="15" t="n">
        <v>12</v>
      </c>
      <c r="AH9" s="15" t="n">
        <v>20</v>
      </c>
      <c r="AI9" s="15" t="n">
        <v>13</v>
      </c>
      <c r="AJ9" s="15" t="n">
        <v>20</v>
      </c>
      <c r="AK9" s="16" t="n">
        <f aca="false">IFERROR((AE9+AG9+AI9)/(AF9+AH9+AJ9)*100,0)</f>
        <v>71.6666666666667</v>
      </c>
    </row>
    <row r="11" customFormat="false" ht="15" hidden="false" customHeight="false" outlineLevel="0" collapsed="false">
      <c r="B11" s="3" t="s">
        <v>58</v>
      </c>
      <c r="I11" s="17" t="n">
        <f aca="false">IFERROR(AVERAGE(I5:I9),0)</f>
        <v>82.3333333333333</v>
      </c>
      <c r="P11" s="17" t="n">
        <f aca="false">IFERROR(AVERAGE(P5:P9),0)</f>
        <v>80</v>
      </c>
      <c r="W11" s="17" t="n">
        <f aca="false">IFERROR(AVERAGE(W5:W9),0)</f>
        <v>77.6666666666667</v>
      </c>
      <c r="AD11" s="17" t="n">
        <f aca="false">IFERROR(AVERAGE(AD5:AD9),0)</f>
        <v>77</v>
      </c>
      <c r="AK11" s="17" t="n">
        <f aca="false">IFERROR(AVERAGE(AK5:AK9),0)</f>
        <v>77.3333333333333</v>
      </c>
    </row>
  </sheetData>
  <mergeCells count="7">
    <mergeCell ref="A1:D1"/>
    <mergeCell ref="A2:N2"/>
    <mergeCell ref="C3:I3"/>
    <mergeCell ref="J3:P3"/>
    <mergeCell ref="Q3:W3"/>
    <mergeCell ref="X3:AD3"/>
    <mergeCell ref="AE3:A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12" min="3" style="0" width="15"/>
  </cols>
  <sheetData>
    <row r="1" customFormat="false" ht="17.35" hidden="false" customHeight="false" outlineLevel="0" collapsed="false">
      <c r="A1" s="1" t="s">
        <v>59</v>
      </c>
      <c r="B1" s="1"/>
      <c r="C1" s="1"/>
      <c r="D1" s="1"/>
    </row>
    <row r="2" customFormat="false" ht="15" hidden="false" customHeight="false" outlineLevel="0" collapsed="false">
      <c r="A2" s="2" t="s">
        <v>60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6" t="s">
        <v>29</v>
      </c>
      <c r="B4" s="6" t="s">
        <v>30</v>
      </c>
      <c r="C4" s="6" t="s">
        <v>61</v>
      </c>
      <c r="D4" s="6" t="s">
        <v>53</v>
      </c>
      <c r="E4" s="6" t="s">
        <v>62</v>
      </c>
      <c r="F4" s="6" t="s">
        <v>54</v>
      </c>
      <c r="G4" s="6" t="s">
        <v>63</v>
      </c>
      <c r="H4" s="6" t="s">
        <v>55</v>
      </c>
      <c r="I4" s="6" t="s">
        <v>64</v>
      </c>
      <c r="J4" s="6" t="s">
        <v>56</v>
      </c>
      <c r="K4" s="6" t="s">
        <v>65</v>
      </c>
      <c r="L4" s="6" t="s">
        <v>57</v>
      </c>
    </row>
    <row r="5" customFormat="false" ht="15" hidden="false" customHeight="false" outlineLevel="0" collapsed="false">
      <c r="A5" s="14" t="s">
        <v>35</v>
      </c>
      <c r="B5" s="14" t="s">
        <v>36</v>
      </c>
      <c r="C5" s="15" t="n">
        <v>4</v>
      </c>
      <c r="D5" s="16" t="n">
        <f aca="false">IFERROR((C5/5)*100,0)</f>
        <v>80</v>
      </c>
      <c r="E5" s="15" t="n">
        <v>4</v>
      </c>
      <c r="F5" s="16" t="n">
        <f aca="false">IFERROR((E5/5)*100,0)</f>
        <v>80</v>
      </c>
      <c r="G5" s="15" t="n">
        <v>4</v>
      </c>
      <c r="H5" s="16" t="n">
        <f aca="false">IFERROR((G5/5)*100,0)</f>
        <v>80</v>
      </c>
      <c r="I5" s="15" t="n">
        <v>5</v>
      </c>
      <c r="J5" s="16" t="n">
        <f aca="false">IFERROR((I5/5)*100,0)</f>
        <v>100</v>
      </c>
      <c r="K5" s="15" t="n">
        <v>5</v>
      </c>
      <c r="L5" s="16" t="n">
        <f aca="false">IFERROR((K5/5)*100,0)</f>
        <v>100</v>
      </c>
    </row>
    <row r="6" customFormat="false" ht="15" hidden="false" customHeight="false" outlineLevel="0" collapsed="false">
      <c r="A6" s="14" t="s">
        <v>37</v>
      </c>
      <c r="B6" s="14" t="s">
        <v>38</v>
      </c>
      <c r="C6" s="15" t="n">
        <v>2</v>
      </c>
      <c r="D6" s="16" t="n">
        <f aca="false">IFERROR((C6/5)*100,0)</f>
        <v>40</v>
      </c>
      <c r="E6" s="15" t="n">
        <v>2</v>
      </c>
      <c r="F6" s="16" t="n">
        <f aca="false">IFERROR((E6/5)*100,0)</f>
        <v>40</v>
      </c>
      <c r="G6" s="15" t="n">
        <v>4</v>
      </c>
      <c r="H6" s="16" t="n">
        <f aca="false">IFERROR((G6/5)*100,0)</f>
        <v>80</v>
      </c>
      <c r="I6" s="15" t="n">
        <v>5</v>
      </c>
      <c r="J6" s="16" t="n">
        <f aca="false">IFERROR((I6/5)*100,0)</f>
        <v>100</v>
      </c>
      <c r="K6" s="15" t="n">
        <v>2</v>
      </c>
      <c r="L6" s="16" t="n">
        <f aca="false">IFERROR((K6/5)*100,0)</f>
        <v>40</v>
      </c>
    </row>
    <row r="7" customFormat="false" ht="15" hidden="false" customHeight="false" outlineLevel="0" collapsed="false">
      <c r="A7" s="14" t="s">
        <v>39</v>
      </c>
      <c r="B7" s="14" t="s">
        <v>40</v>
      </c>
      <c r="C7" s="15" t="n">
        <v>2</v>
      </c>
      <c r="D7" s="16" t="n">
        <f aca="false">IFERROR((C7/5)*100,0)</f>
        <v>40</v>
      </c>
      <c r="E7" s="15" t="n">
        <v>4</v>
      </c>
      <c r="F7" s="16" t="n">
        <f aca="false">IFERROR((E7/5)*100,0)</f>
        <v>80</v>
      </c>
      <c r="G7" s="15" t="n">
        <v>5</v>
      </c>
      <c r="H7" s="16" t="n">
        <f aca="false">IFERROR((G7/5)*100,0)</f>
        <v>100</v>
      </c>
      <c r="I7" s="15" t="n">
        <v>4</v>
      </c>
      <c r="J7" s="16" t="n">
        <f aca="false">IFERROR((I7/5)*100,0)</f>
        <v>80</v>
      </c>
      <c r="K7" s="15" t="n">
        <v>5</v>
      </c>
      <c r="L7" s="16" t="n">
        <f aca="false">IFERROR((K7/5)*100,0)</f>
        <v>100</v>
      </c>
    </row>
    <row r="8" customFormat="false" ht="15" hidden="false" customHeight="false" outlineLevel="0" collapsed="false">
      <c r="A8" s="14" t="s">
        <v>41</v>
      </c>
      <c r="B8" s="14" t="s">
        <v>42</v>
      </c>
      <c r="C8" s="15" t="n">
        <v>4</v>
      </c>
      <c r="D8" s="16" t="n">
        <f aca="false">IFERROR((C8/5)*100,0)</f>
        <v>80</v>
      </c>
      <c r="E8" s="15" t="n">
        <v>2</v>
      </c>
      <c r="F8" s="16" t="n">
        <f aca="false">IFERROR((E8/5)*100,0)</f>
        <v>40</v>
      </c>
      <c r="G8" s="15" t="n">
        <v>5</v>
      </c>
      <c r="H8" s="16" t="n">
        <f aca="false">IFERROR((G8/5)*100,0)</f>
        <v>100</v>
      </c>
      <c r="I8" s="15" t="n">
        <v>4</v>
      </c>
      <c r="J8" s="16" t="n">
        <f aca="false">IFERROR((I8/5)*100,0)</f>
        <v>80</v>
      </c>
      <c r="K8" s="15" t="n">
        <v>3</v>
      </c>
      <c r="L8" s="16" t="n">
        <f aca="false">IFERROR((K8/5)*100,0)</f>
        <v>60</v>
      </c>
    </row>
    <row r="9" customFormat="false" ht="15" hidden="false" customHeight="false" outlineLevel="0" collapsed="false">
      <c r="A9" s="14" t="s">
        <v>43</v>
      </c>
      <c r="B9" s="14" t="s">
        <v>44</v>
      </c>
      <c r="C9" s="15" t="n">
        <v>2</v>
      </c>
      <c r="D9" s="16" t="n">
        <f aca="false">IFERROR((C9/5)*100,0)</f>
        <v>40</v>
      </c>
      <c r="E9" s="15" t="n">
        <v>5</v>
      </c>
      <c r="F9" s="16" t="n">
        <f aca="false">IFERROR((E9/5)*100,0)</f>
        <v>100</v>
      </c>
      <c r="G9" s="15" t="n">
        <v>2</v>
      </c>
      <c r="H9" s="16" t="n">
        <f aca="false">IFERROR((G9/5)*100,0)</f>
        <v>40</v>
      </c>
      <c r="I9" s="15" t="n">
        <v>3</v>
      </c>
      <c r="J9" s="16" t="n">
        <f aca="false">IFERROR((I9/5)*100,0)</f>
        <v>60</v>
      </c>
      <c r="K9" s="15" t="n">
        <v>4</v>
      </c>
      <c r="L9" s="16" t="n">
        <f aca="false">IFERROR((K9/5)*100,0)</f>
        <v>80</v>
      </c>
    </row>
    <row r="11" customFormat="false" ht="15" hidden="false" customHeight="false" outlineLevel="0" collapsed="false">
      <c r="B11" s="3" t="s">
        <v>66</v>
      </c>
      <c r="C11" s="18" t="n">
        <f aca="false">IFERROR(AVERAGE(C5:C9),0)</f>
        <v>2.8</v>
      </c>
      <c r="E11" s="18" t="n">
        <f aca="false">IFERROR(AVERAGE(E5:E9),0)</f>
        <v>3.4</v>
      </c>
      <c r="G11" s="18" t="n">
        <f aca="false">IFERROR(AVERAGE(G5:G9),0)</f>
        <v>4</v>
      </c>
      <c r="I11" s="18" t="n">
        <f aca="false">IFERROR(AVERAGE(I5:I9),0)</f>
        <v>4.2</v>
      </c>
      <c r="K11" s="18" t="n">
        <f aca="false">IFERROR(AVERAGE(K5:K9),0)</f>
        <v>3.8</v>
      </c>
    </row>
    <row r="12" customFormat="false" ht="15" hidden="false" customHeight="false" outlineLevel="0" collapsed="false">
      <c r="B12" s="3" t="s">
        <v>67</v>
      </c>
      <c r="C12" s="17" t="n">
        <f aca="false">IFERROR((C11/5)*100,0)</f>
        <v>56</v>
      </c>
      <c r="E12" s="17" t="n">
        <f aca="false">IFERROR((E11/5)*100,0)</f>
        <v>68</v>
      </c>
      <c r="G12" s="17" t="n">
        <f aca="false">IFERROR((G11/5)*100,0)</f>
        <v>80</v>
      </c>
      <c r="I12" s="17" t="n">
        <f aca="false">IFERROR((I11/5)*100,0)</f>
        <v>84</v>
      </c>
      <c r="K12" s="17" t="n">
        <f aca="false">IFERROR((K11/5)*100,0)</f>
        <v>76</v>
      </c>
    </row>
  </sheetData>
  <mergeCells count="2">
    <mergeCell ref="A1:D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2026-09-05T02:23:52Z</dcterms:created>
  <dc:creator>openpyxl</dc:creator>
  <dc:description/>
  <dc:language>en-US</dc:language>
  <cp:lastModifiedBy/>
  <dcterms:modified xsi:type="dcterms:W3CDTF">2026-09-05T02:23:52Z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